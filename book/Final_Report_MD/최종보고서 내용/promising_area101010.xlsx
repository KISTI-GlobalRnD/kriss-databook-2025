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내 드라이브\Work_at_KISTI\2025 KRISS 수탁사업\3) 유망 연구영역 도출\포트폴리오기반_유망연구영역도출_251210\"/>
    </mc:Choice>
  </mc:AlternateContent>
  <xr:revisionPtr revIDLastSave="0" documentId="13_ncr:1_{1FAE0552-F764-4B8A-91E9-F582023F4845}" xr6:coauthVersionLast="47" xr6:coauthVersionMax="47" xr10:uidLastSave="{00000000-0000-0000-0000-000000000000}"/>
  <bookViews>
    <workbookView xWindow="-17388" yWindow="-108" windowWidth="17496" windowHeight="309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<sst xmlns="http://schemas.openxmlformats.org/spreadsheetml/2006/main" count="101" uniqueCount="74">
  <si>
    <t>cluster_micro</t>
  </si>
  <si>
    <t>cluster_label</t>
  </si>
  <si>
    <t>area</t>
  </si>
  <si>
    <t>RTA</t>
  </si>
  <si>
    <t>Excellence10</t>
  </si>
  <si>
    <t>N_docs</t>
  </si>
  <si>
    <t>topX_weight_sum</t>
  </si>
  <si>
    <t>성장성_percentile</t>
  </si>
  <si>
    <t>파급력_percentile</t>
  </si>
  <si>
    <t>기술진보기여도_percentile</t>
  </si>
  <si>
    <t>총점_percentile</t>
  </si>
  <si>
    <t>182</t>
  </si>
  <si>
    <t>20-182 - 다이아몬드결함양자센서</t>
  </si>
  <si>
    <t>area1</t>
  </si>
  <si>
    <t>127</t>
  </si>
  <si>
    <t>41-127 - 뇌파 감정상태 측정</t>
  </si>
  <si>
    <t>69</t>
  </si>
  <si>
    <t>77</t>
  </si>
  <si>
    <t>36-77 - 2차원 광전소자 측정</t>
  </si>
  <si>
    <t>178</t>
  </si>
  <si>
    <t>43-178 - 현장진단 바이오센서</t>
  </si>
  <si>
    <t>12</t>
  </si>
  <si>
    <t>9-12 - 배터리 양극·계면 측정</t>
  </si>
  <si>
    <t>167</t>
  </si>
  <si>
    <t>12-167 - 스핀전류 변환·제어</t>
  </si>
  <si>
    <t>145</t>
  </si>
  <si>
    <t>37-145 - 광음향·초음파 나노진단치료</t>
  </si>
  <si>
    <t>24</t>
  </si>
  <si>
    <t>11-24 - 폴리머 난연성 측정</t>
  </si>
  <si>
    <t>173</t>
  </si>
  <si>
    <t>10-173 - 2차원·산화물 가스센서</t>
  </si>
  <si>
    <t>84</t>
  </si>
  <si>
    <t>38-84 - 양자알고리즘·오류정정</t>
  </si>
  <si>
    <t>area2</t>
  </si>
  <si>
    <t>141</t>
  </si>
  <si>
    <t>41-141 - 신축성 전자피부 센서</t>
  </si>
  <si>
    <t>191</t>
  </si>
  <si>
    <t>9-191 - 물분해 전기촉매 측정</t>
  </si>
  <si>
    <t>154</t>
  </si>
  <si>
    <t>7-154 - 리튬이온전지 예지진단</t>
  </si>
  <si>
    <t>15</t>
  </si>
  <si>
    <t>11-15 - 전자파 차폐·흡수 복합재</t>
  </si>
  <si>
    <t>79</t>
  </si>
  <si>
    <t>37-79 - 미세·나노입자 계측표준</t>
  </si>
  <si>
    <t>123</t>
  </si>
  <si>
    <t>25-123 - 위상광자·비에르미트상</t>
  </si>
  <si>
    <t>176</t>
  </si>
  <si>
    <t>25-176 - 양자다체 비평형 동역학</t>
  </si>
  <si>
    <t>117</t>
  </si>
  <si>
    <t>2-117 - 레이저 미량가스 분광측정</t>
  </si>
  <si>
    <t>107</t>
  </si>
  <si>
    <t>38-107 - 초전도 회로 양자전기역학</t>
  </si>
  <si>
    <t>159</t>
  </si>
  <si>
    <t>11-159 - 나노셀룰로오스 소재측정</t>
  </si>
  <si>
    <t>area3</t>
  </si>
  <si>
    <t>125</t>
  </si>
  <si>
    <t>43-125 - 유전체 변이 측정표준</t>
  </si>
  <si>
    <t>62</t>
  </si>
  <si>
    <t>32-62 - 집적 광주파수콤</t>
  </si>
  <si>
    <t>189</t>
  </si>
  <si>
    <t>9-189 - 다공성골격 가스분리</t>
  </si>
  <si>
    <t>133</t>
  </si>
  <si>
    <t>18-133 - 적층 바이오제조 측정</t>
  </si>
  <si>
    <t>179</t>
  </si>
  <si>
    <t>29-179 - 프로테오믹스 질량분석</t>
  </si>
  <si>
    <t>169</t>
  </si>
  <si>
    <t>30-169 - 위상 양자물질 전자구조 측정</t>
  </si>
  <si>
    <t>131</t>
  </si>
  <si>
    <t>26-131 - 중력파 검출·분석</t>
  </si>
  <si>
    <t>162</t>
  </si>
  <si>
    <t>34-162 - 궤도각운동량 광계측</t>
  </si>
  <si>
    <t>112</t>
  </si>
  <si>
    <t>15-112 - 업컨버전 나노입자</t>
  </si>
  <si>
    <t>34-69 - 메타표면 광학소자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</si>
</sst>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C1" workbookViewId="0">
      <selection activeCell="N23" sqref="N23"/>
    </sheetView>
  </sheetViews>
  <sheetFormatPr defaultRowHeight="16.5" x14ac:dyDescent="0.3"/>
  <cols>
    <col min="2" max="2" width="44.5" customWidth="1"/>
    <col min="8" max="8" width="15.25" customWidth="1"/>
    <col min="9" max="9" width="16.75" customWidth="1"/>
    <col min="11" max="12" width="10.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3">
      <c r="A2" t="s">
        <v>11</v>
      </c>
      <c r="B2" t="s">
        <v>12</v>
      </c>
      <c r="C2" t="s">
        <v>13</v>
      </c>
      <c r="D2">
        <v>1.786855141614015</v>
      </c>
      <c r="E2">
        <v>28.571428571428569</v>
      </c>
      <c r="F2">
        <v>7</v>
      </c>
      <c r="G2">
        <v>2</v>
      </c>
      <c r="H2">
        <v>76.923076923076934</v>
      </c>
      <c r="I2">
        <v>89.230769230769241</v>
      </c>
      <c r="J2">
        <v>100</v>
      </c>
      <c r="K2">
        <v>98.974358974358978</v>
      </c>
      <c r="L2">
        <f>((100-K2)*195/100)+1</f>
        <v>2.9999999999999929</v>
      </c>
    </row>
    <row r="3" spans="1:12" x14ac:dyDescent="0.3">
      <c r="A3" t="s">
        <v>14</v>
      </c>
      <c r="B3" t="s">
        <v>15</v>
      </c>
      <c r="C3" t="s">
        <v>13</v>
      </c>
      <c r="D3">
        <v>1.158273483024451</v>
      </c>
      <c r="E3">
        <v>57.142857142857139</v>
      </c>
      <c r="F3">
        <v>14</v>
      </c>
      <c r="G3">
        <v>8</v>
      </c>
      <c r="H3">
        <v>86.666666666666671</v>
      </c>
      <c r="I3">
        <v>100</v>
      </c>
      <c r="J3">
        <v>76.410256410256409</v>
      </c>
      <c r="K3">
        <v>98.461538461538467</v>
      </c>
      <c r="L3">
        <f t="shared" ref="L3:L31" si="0">((100-K3)*195/100)+1</f>
        <v>3.9999999999999893</v>
      </c>
    </row>
    <row r="4" spans="1:12" x14ac:dyDescent="0.3">
      <c r="A4" t="s">
        <v>16</v>
      </c>
      <c r="B4" t="s">
        <v>73</v>
      </c>
      <c r="C4" t="s">
        <v>13</v>
      </c>
      <c r="D4">
        <v>3.0825633702258588</v>
      </c>
      <c r="E4">
        <v>19.23076923076923</v>
      </c>
      <c r="F4">
        <v>52</v>
      </c>
      <c r="G4">
        <v>10</v>
      </c>
      <c r="H4">
        <v>86.15384615384616</v>
      </c>
      <c r="I4">
        <v>78.461538461538467</v>
      </c>
      <c r="J4">
        <v>95.897435897435898</v>
      </c>
      <c r="K4">
        <v>93.3333333333333</v>
      </c>
      <c r="L4">
        <f t="shared" si="0"/>
        <v>14.000000000000064</v>
      </c>
    </row>
    <row r="5" spans="1:12" x14ac:dyDescent="0.3">
      <c r="A5" t="s">
        <v>17</v>
      </c>
      <c r="B5" t="s">
        <v>18</v>
      </c>
      <c r="C5" t="s">
        <v>13</v>
      </c>
      <c r="D5">
        <v>4.1250851837597571</v>
      </c>
      <c r="E5">
        <v>8.1967213114754092</v>
      </c>
      <c r="F5">
        <v>61</v>
      </c>
      <c r="G5">
        <v>5</v>
      </c>
      <c r="H5">
        <v>93.84615384615384</v>
      </c>
      <c r="I5">
        <v>83.07692307692308</v>
      </c>
      <c r="J5">
        <v>66.153846153846146</v>
      </c>
      <c r="K5">
        <v>86.666666666666671</v>
      </c>
      <c r="L5">
        <f t="shared" si="0"/>
        <v>26.999999999999989</v>
      </c>
    </row>
    <row r="6" spans="1:12" x14ac:dyDescent="0.3">
      <c r="A6" t="s">
        <v>19</v>
      </c>
      <c r="B6" t="s">
        <v>20</v>
      </c>
      <c r="C6" t="s">
        <v>13</v>
      </c>
      <c r="D6">
        <v>1.0438135089094209</v>
      </c>
      <c r="E6">
        <v>16.36612021857924</v>
      </c>
      <c r="F6">
        <v>12</v>
      </c>
      <c r="G6">
        <v>1.9639344262295091</v>
      </c>
      <c r="H6">
        <v>83.589743589743591</v>
      </c>
      <c r="I6">
        <v>83.589743589743591</v>
      </c>
      <c r="J6">
        <v>83.589743589743591</v>
      </c>
      <c r="K6">
        <v>86.15384615384616</v>
      </c>
      <c r="L6">
        <f t="shared" si="0"/>
        <v>27.999999999999986</v>
      </c>
    </row>
    <row r="7" spans="1:12" x14ac:dyDescent="0.3">
      <c r="A7" t="s">
        <v>21</v>
      </c>
      <c r="B7" t="s">
        <v>22</v>
      </c>
      <c r="C7" t="s">
        <v>13</v>
      </c>
      <c r="D7">
        <v>2.6907303712193542</v>
      </c>
      <c r="E7">
        <v>10</v>
      </c>
      <c r="F7">
        <v>20</v>
      </c>
      <c r="G7">
        <v>2</v>
      </c>
      <c r="H7">
        <v>73.333333333333329</v>
      </c>
      <c r="I7">
        <v>76.923076923076934</v>
      </c>
      <c r="J7">
        <v>90.769230769230774</v>
      </c>
      <c r="K7">
        <v>85.641025641025635</v>
      </c>
      <c r="L7">
        <f t="shared" si="0"/>
        <v>29.000000000000011</v>
      </c>
    </row>
    <row r="8" spans="1:12" x14ac:dyDescent="0.3">
      <c r="A8" t="s">
        <v>23</v>
      </c>
      <c r="B8" t="s">
        <v>24</v>
      </c>
      <c r="C8" t="s">
        <v>13</v>
      </c>
      <c r="D8">
        <v>2.359058786100924</v>
      </c>
      <c r="E8">
        <v>21.621621621621621</v>
      </c>
      <c r="F8">
        <v>37</v>
      </c>
      <c r="G8">
        <v>8</v>
      </c>
      <c r="H8">
        <v>83.07692307692308</v>
      </c>
      <c r="I8">
        <v>92.820512820512818</v>
      </c>
      <c r="J8">
        <v>53.846153846153847</v>
      </c>
      <c r="K8">
        <v>84.615384615384613</v>
      </c>
      <c r="L8">
        <f t="shared" si="0"/>
        <v>31.000000000000004</v>
      </c>
    </row>
    <row r="9" spans="1:12" x14ac:dyDescent="0.3">
      <c r="A9" t="s">
        <v>25</v>
      </c>
      <c r="B9" t="s">
        <v>26</v>
      </c>
      <c r="C9" t="s">
        <v>13</v>
      </c>
      <c r="D9">
        <v>1.171028280307757</v>
      </c>
      <c r="E9">
        <v>10.015151515151519</v>
      </c>
      <c r="F9">
        <v>10</v>
      </c>
      <c r="G9">
        <v>1.0015151515151519</v>
      </c>
      <c r="H9">
        <v>65.128205128205124</v>
      </c>
      <c r="I9">
        <v>91.794871794871796</v>
      </c>
      <c r="J9">
        <v>72.307692307692307</v>
      </c>
      <c r="K9">
        <v>83.589743589743591</v>
      </c>
      <c r="L9">
        <f t="shared" si="0"/>
        <v>33</v>
      </c>
    </row>
    <row r="10" spans="1:12" x14ac:dyDescent="0.3">
      <c r="A10" t="s">
        <v>27</v>
      </c>
      <c r="B10" t="s">
        <v>28</v>
      </c>
      <c r="C10" t="s">
        <v>13</v>
      </c>
      <c r="D10">
        <v>2.2059251440672201</v>
      </c>
      <c r="E10">
        <v>8.1081081081081088</v>
      </c>
      <c r="F10">
        <v>37</v>
      </c>
      <c r="G10">
        <v>3</v>
      </c>
      <c r="H10">
        <v>64.615384615384613</v>
      </c>
      <c r="I10">
        <v>87.692307692307693</v>
      </c>
      <c r="J10">
        <v>60</v>
      </c>
      <c r="K10">
        <v>80</v>
      </c>
      <c r="L10">
        <f t="shared" si="0"/>
        <v>40</v>
      </c>
    </row>
    <row r="11" spans="1:12" x14ac:dyDescent="0.3">
      <c r="A11" t="s">
        <v>29</v>
      </c>
      <c r="B11" t="s">
        <v>30</v>
      </c>
      <c r="C11" t="s">
        <v>13</v>
      </c>
      <c r="D11">
        <v>1.653216395728597</v>
      </c>
      <c r="E11">
        <v>10</v>
      </c>
      <c r="F11">
        <v>20</v>
      </c>
      <c r="G11">
        <v>2</v>
      </c>
      <c r="H11">
        <v>65.641025641025635</v>
      </c>
      <c r="I11">
        <v>74.358974358974365</v>
      </c>
      <c r="J11">
        <v>60.512820512820511</v>
      </c>
      <c r="K11">
        <v>70.769230769230774</v>
      </c>
      <c r="L11">
        <f t="shared" si="0"/>
        <v>57.999999999999993</v>
      </c>
    </row>
    <row r="12" spans="1:12" x14ac:dyDescent="0.3">
      <c r="A12" t="s">
        <v>31</v>
      </c>
      <c r="B12" t="s">
        <v>32</v>
      </c>
      <c r="C12" t="s">
        <v>33</v>
      </c>
      <c r="D12">
        <v>0.13989387121645669</v>
      </c>
      <c r="E12">
        <v>0</v>
      </c>
      <c r="F12">
        <v>1</v>
      </c>
      <c r="G12">
        <v>0</v>
      </c>
      <c r="H12">
        <v>60.512820512820511</v>
      </c>
      <c r="I12">
        <v>99.487179487179489</v>
      </c>
      <c r="J12">
        <v>98.974358974358978</v>
      </c>
      <c r="K12">
        <v>100</v>
      </c>
      <c r="L12">
        <f t="shared" si="0"/>
        <v>1</v>
      </c>
    </row>
    <row r="13" spans="1:12" x14ac:dyDescent="0.3">
      <c r="A13" t="s">
        <v>34</v>
      </c>
      <c r="B13" t="s">
        <v>35</v>
      </c>
      <c r="C13" t="s">
        <v>33</v>
      </c>
      <c r="D13">
        <v>0.9097963217472429</v>
      </c>
      <c r="E13">
        <v>17.361111111111111</v>
      </c>
      <c r="F13">
        <v>34</v>
      </c>
      <c r="G13">
        <v>5.9027777777777777</v>
      </c>
      <c r="H13">
        <v>94.358974358974351</v>
      </c>
      <c r="I13">
        <v>92.307692307692307</v>
      </c>
      <c r="J13">
        <v>74.871794871794876</v>
      </c>
      <c r="K13">
        <v>91.282051282051285</v>
      </c>
      <c r="L13">
        <f t="shared" si="0"/>
        <v>17.999999999999996</v>
      </c>
    </row>
    <row r="14" spans="1:12" x14ac:dyDescent="0.3">
      <c r="A14" t="s">
        <v>36</v>
      </c>
      <c r="B14" t="s">
        <v>37</v>
      </c>
      <c r="C14" t="s">
        <v>33</v>
      </c>
      <c r="D14">
        <v>1.225749227985689</v>
      </c>
      <c r="E14">
        <v>0</v>
      </c>
      <c r="F14">
        <v>7</v>
      </c>
      <c r="G14">
        <v>0</v>
      </c>
      <c r="H14">
        <v>93.333333333333329</v>
      </c>
      <c r="I14">
        <v>87.179487179487182</v>
      </c>
      <c r="J14">
        <v>73.333333333333329</v>
      </c>
      <c r="K14">
        <v>89.743589743589752</v>
      </c>
      <c r="L14">
        <f t="shared" si="0"/>
        <v>20.999999999999986</v>
      </c>
    </row>
    <row r="15" spans="1:12" x14ac:dyDescent="0.3">
      <c r="A15" t="s">
        <v>38</v>
      </c>
      <c r="B15" t="s">
        <v>39</v>
      </c>
      <c r="C15" t="s">
        <v>33</v>
      </c>
      <c r="D15">
        <v>0</v>
      </c>
      <c r="F15">
        <v>0</v>
      </c>
      <c r="G15">
        <v>0</v>
      </c>
      <c r="H15">
        <v>96.410256410256409</v>
      </c>
      <c r="I15">
        <v>58.461538461538467</v>
      </c>
      <c r="J15">
        <v>86.666666666666671</v>
      </c>
      <c r="K15">
        <v>89.230769230769241</v>
      </c>
      <c r="L15">
        <f t="shared" si="0"/>
        <v>21.999999999999982</v>
      </c>
    </row>
    <row r="16" spans="1:12" x14ac:dyDescent="0.3">
      <c r="A16" t="s">
        <v>40</v>
      </c>
      <c r="B16" t="s">
        <v>41</v>
      </c>
      <c r="C16" t="s">
        <v>33</v>
      </c>
      <c r="D16">
        <v>8.3744573085179241E-2</v>
      </c>
      <c r="E16">
        <v>0</v>
      </c>
      <c r="F16">
        <v>1</v>
      </c>
      <c r="G16">
        <v>0</v>
      </c>
      <c r="H16">
        <v>77.948717948717956</v>
      </c>
      <c r="I16">
        <v>98.974358974358978</v>
      </c>
      <c r="J16">
        <v>47.179487179487182</v>
      </c>
      <c r="K16">
        <v>87.692307692307693</v>
      </c>
      <c r="L16">
        <f t="shared" si="0"/>
        <v>25</v>
      </c>
    </row>
    <row r="17" spans="1:12" x14ac:dyDescent="0.3">
      <c r="A17" t="s">
        <v>42</v>
      </c>
      <c r="B17" t="s">
        <v>43</v>
      </c>
      <c r="C17" t="s">
        <v>33</v>
      </c>
      <c r="D17">
        <v>2.5686398301891038</v>
      </c>
      <c r="E17">
        <v>7.3170731707317067</v>
      </c>
      <c r="F17">
        <v>41</v>
      </c>
      <c r="G17">
        <v>3</v>
      </c>
      <c r="H17">
        <v>70.769230769230774</v>
      </c>
      <c r="I17">
        <v>93.84615384615384</v>
      </c>
      <c r="J17">
        <v>65.128205128205124</v>
      </c>
      <c r="K17">
        <v>84.102564102564102</v>
      </c>
      <c r="L17">
        <f t="shared" si="0"/>
        <v>32</v>
      </c>
    </row>
    <row r="18" spans="1:12" x14ac:dyDescent="0.3">
      <c r="A18" t="s">
        <v>44</v>
      </c>
      <c r="B18" t="s">
        <v>45</v>
      </c>
      <c r="C18" t="s">
        <v>33</v>
      </c>
      <c r="D18">
        <v>0.26817441533765413</v>
      </c>
      <c r="E18">
        <v>50</v>
      </c>
      <c r="F18">
        <v>2</v>
      </c>
      <c r="G18">
        <v>1</v>
      </c>
      <c r="H18">
        <v>76.410256410256409</v>
      </c>
      <c r="I18">
        <v>96.92307692307692</v>
      </c>
      <c r="J18">
        <v>29.23076923076923</v>
      </c>
      <c r="K18">
        <v>82.051282051282044</v>
      </c>
      <c r="L18">
        <f t="shared" si="0"/>
        <v>36.000000000000014</v>
      </c>
    </row>
    <row r="19" spans="1:12" x14ac:dyDescent="0.3">
      <c r="A19" t="s">
        <v>46</v>
      </c>
      <c r="B19" t="s">
        <v>47</v>
      </c>
      <c r="C19" t="s">
        <v>33</v>
      </c>
      <c r="D19">
        <v>0</v>
      </c>
      <c r="F19">
        <v>0</v>
      </c>
      <c r="G19">
        <v>0</v>
      </c>
      <c r="H19">
        <v>71.794871794871796</v>
      </c>
      <c r="I19">
        <v>96.410256410256409</v>
      </c>
      <c r="J19">
        <v>19.487179487179489</v>
      </c>
      <c r="K19">
        <v>78.974358974358978</v>
      </c>
      <c r="L19">
        <f t="shared" si="0"/>
        <v>41.999999999999993</v>
      </c>
    </row>
    <row r="20" spans="1:12" x14ac:dyDescent="0.3">
      <c r="A20" t="s">
        <v>48</v>
      </c>
      <c r="B20" t="s">
        <v>49</v>
      </c>
      <c r="C20" t="s">
        <v>33</v>
      </c>
      <c r="D20">
        <v>0.21939639912089109</v>
      </c>
      <c r="E20">
        <v>0</v>
      </c>
      <c r="F20">
        <v>1</v>
      </c>
      <c r="G20">
        <v>0</v>
      </c>
      <c r="H20">
        <v>51.282051282051277</v>
      </c>
      <c r="I20">
        <v>81.538461538461533</v>
      </c>
      <c r="J20">
        <v>70.769230769230774</v>
      </c>
      <c r="K20">
        <v>71.794871794871796</v>
      </c>
      <c r="L20">
        <f t="shared" si="0"/>
        <v>56</v>
      </c>
    </row>
    <row r="21" spans="1:12" x14ac:dyDescent="0.3">
      <c r="A21" t="s">
        <v>50</v>
      </c>
      <c r="B21" t="s">
        <v>51</v>
      </c>
      <c r="C21" t="s">
        <v>33</v>
      </c>
      <c r="D21">
        <v>1.749379015012231</v>
      </c>
      <c r="E21">
        <v>0</v>
      </c>
      <c r="F21">
        <v>29</v>
      </c>
      <c r="G21">
        <v>0</v>
      </c>
      <c r="H21">
        <v>33.333333333333329</v>
      </c>
      <c r="I21">
        <v>74.871794871794876</v>
      </c>
      <c r="J21">
        <v>86.15384615384616</v>
      </c>
      <c r="K21">
        <v>69.743589743589737</v>
      </c>
      <c r="L21">
        <f t="shared" si="0"/>
        <v>60.000000000000007</v>
      </c>
    </row>
    <row r="22" spans="1:12" x14ac:dyDescent="0.3">
      <c r="A22" t="s">
        <v>52</v>
      </c>
      <c r="B22" t="s">
        <v>53</v>
      </c>
      <c r="C22" t="s">
        <v>54</v>
      </c>
      <c r="D22">
        <v>0.35021406513876818</v>
      </c>
      <c r="E22">
        <v>0</v>
      </c>
      <c r="F22">
        <v>2</v>
      </c>
      <c r="G22">
        <v>0</v>
      </c>
      <c r="H22">
        <v>94.871794871794862</v>
      </c>
      <c r="I22">
        <v>98.461538461538467</v>
      </c>
      <c r="J22">
        <v>81.025641025641022</v>
      </c>
      <c r="K22">
        <v>97.948717948717942</v>
      </c>
      <c r="L22">
        <f t="shared" si="0"/>
        <v>5.0000000000000133</v>
      </c>
    </row>
    <row r="23" spans="1:12" x14ac:dyDescent="0.3">
      <c r="A23" t="s">
        <v>55</v>
      </c>
      <c r="B23" t="s">
        <v>56</v>
      </c>
      <c r="C23" t="s">
        <v>54</v>
      </c>
      <c r="D23">
        <v>4.1195783150891749</v>
      </c>
      <c r="E23">
        <v>5.5555555555555554</v>
      </c>
      <c r="F23">
        <v>36</v>
      </c>
      <c r="G23">
        <v>2</v>
      </c>
      <c r="H23">
        <v>44.102564102564102</v>
      </c>
      <c r="I23">
        <v>77.948717948717956</v>
      </c>
      <c r="J23">
        <v>99.487179487179489</v>
      </c>
      <c r="K23">
        <v>93.84615384615384</v>
      </c>
      <c r="L23">
        <f t="shared" si="0"/>
        <v>13.000000000000014</v>
      </c>
    </row>
    <row r="24" spans="1:12" x14ac:dyDescent="0.3">
      <c r="A24" t="s">
        <v>57</v>
      </c>
      <c r="B24" t="s">
        <v>58</v>
      </c>
      <c r="C24" t="s">
        <v>54</v>
      </c>
      <c r="D24">
        <v>0.2959425629419391</v>
      </c>
      <c r="E24">
        <v>0</v>
      </c>
      <c r="F24">
        <v>3</v>
      </c>
      <c r="G24">
        <v>0</v>
      </c>
      <c r="H24">
        <v>61.025641025641029</v>
      </c>
      <c r="I24">
        <v>91.282051282051285</v>
      </c>
      <c r="J24">
        <v>97.948717948717942</v>
      </c>
      <c r="K24">
        <v>92.307692307692307</v>
      </c>
      <c r="L24">
        <f t="shared" si="0"/>
        <v>16</v>
      </c>
    </row>
    <row r="25" spans="1:12" x14ac:dyDescent="0.3">
      <c r="A25" t="s">
        <v>59</v>
      </c>
      <c r="B25" t="s">
        <v>60</v>
      </c>
      <c r="C25" t="s">
        <v>54</v>
      </c>
      <c r="D25">
        <v>0.21110174307000121</v>
      </c>
      <c r="E25">
        <v>0</v>
      </c>
      <c r="F25">
        <v>3</v>
      </c>
      <c r="G25">
        <v>0</v>
      </c>
      <c r="H25">
        <v>82.051282051282044</v>
      </c>
      <c r="I25">
        <v>97.435897435897431</v>
      </c>
      <c r="J25">
        <v>77.948717948717956</v>
      </c>
      <c r="K25">
        <v>91.794871794871796</v>
      </c>
      <c r="L25">
        <f t="shared" si="0"/>
        <v>17</v>
      </c>
    </row>
    <row r="26" spans="1:12" x14ac:dyDescent="0.3">
      <c r="A26" t="s">
        <v>61</v>
      </c>
      <c r="B26" t="s">
        <v>62</v>
      </c>
      <c r="C26" t="s">
        <v>54</v>
      </c>
      <c r="D26">
        <v>0.56322001457687676</v>
      </c>
      <c r="E26">
        <v>0</v>
      </c>
      <c r="F26">
        <v>6</v>
      </c>
      <c r="G26">
        <v>0</v>
      </c>
      <c r="H26">
        <v>62.051282051282051</v>
      </c>
      <c r="I26">
        <v>93.333333333333329</v>
      </c>
      <c r="J26">
        <v>70.256410256410248</v>
      </c>
      <c r="K26">
        <v>81.538461538461533</v>
      </c>
      <c r="L26">
        <f t="shared" si="0"/>
        <v>37.000000000000007</v>
      </c>
    </row>
    <row r="27" spans="1:12" x14ac:dyDescent="0.3">
      <c r="A27" t="s">
        <v>63</v>
      </c>
      <c r="B27" t="s">
        <v>64</v>
      </c>
      <c r="C27" t="s">
        <v>54</v>
      </c>
      <c r="D27">
        <v>4.7828059422618248</v>
      </c>
      <c r="E27">
        <v>0</v>
      </c>
      <c r="F27">
        <v>21</v>
      </c>
      <c r="G27">
        <v>0</v>
      </c>
      <c r="H27">
        <v>44.61538461538462</v>
      </c>
      <c r="I27">
        <v>65.641025641025635</v>
      </c>
      <c r="J27">
        <v>96.410256410256409</v>
      </c>
      <c r="K27">
        <v>81.025641025641022</v>
      </c>
      <c r="L27">
        <f t="shared" si="0"/>
        <v>38.000000000000007</v>
      </c>
    </row>
    <row r="28" spans="1:12" x14ac:dyDescent="0.3">
      <c r="A28" t="s">
        <v>65</v>
      </c>
      <c r="B28" t="s">
        <v>66</v>
      </c>
      <c r="C28" t="s">
        <v>54</v>
      </c>
      <c r="D28">
        <v>1.519171823101954</v>
      </c>
      <c r="E28">
        <v>0</v>
      </c>
      <c r="F28">
        <v>9</v>
      </c>
      <c r="G28">
        <v>0</v>
      </c>
      <c r="H28">
        <v>81.025641025641022</v>
      </c>
      <c r="I28">
        <v>94.871794871794862</v>
      </c>
      <c r="J28">
        <v>22.564102564102569</v>
      </c>
      <c r="K28">
        <v>80.512820512820511</v>
      </c>
      <c r="L28">
        <f t="shared" si="0"/>
        <v>39.000000000000007</v>
      </c>
    </row>
    <row r="29" spans="1:12" x14ac:dyDescent="0.3">
      <c r="A29" t="s">
        <v>67</v>
      </c>
      <c r="B29" t="s">
        <v>68</v>
      </c>
      <c r="C29" t="s">
        <v>54</v>
      </c>
      <c r="D29">
        <v>0.4242215656963948</v>
      </c>
      <c r="E29">
        <v>0</v>
      </c>
      <c r="F29">
        <v>2</v>
      </c>
      <c r="G29">
        <v>0</v>
      </c>
      <c r="H29">
        <v>53.846153846153847</v>
      </c>
      <c r="I29">
        <v>97.948717948717942</v>
      </c>
      <c r="J29">
        <v>11.282051282051279</v>
      </c>
      <c r="K29">
        <v>75.384615384615387</v>
      </c>
      <c r="L29">
        <f t="shared" si="0"/>
        <v>49</v>
      </c>
    </row>
    <row r="30" spans="1:12" x14ac:dyDescent="0.3">
      <c r="A30" t="s">
        <v>69</v>
      </c>
      <c r="B30" t="s">
        <v>70</v>
      </c>
      <c r="C30" t="s">
        <v>54</v>
      </c>
      <c r="D30">
        <v>0.1909285239632211</v>
      </c>
      <c r="E30">
        <v>0</v>
      </c>
      <c r="F30">
        <v>1</v>
      </c>
      <c r="G30">
        <v>0</v>
      </c>
      <c r="H30">
        <v>60</v>
      </c>
      <c r="I30">
        <v>88.717948717948715</v>
      </c>
      <c r="J30">
        <v>51.282051282051277</v>
      </c>
      <c r="K30">
        <v>73.333333333333329</v>
      </c>
      <c r="L30">
        <f t="shared" si="0"/>
        <v>53.000000000000007</v>
      </c>
    </row>
    <row r="31" spans="1:12" x14ac:dyDescent="0.3">
      <c r="A31" t="s">
        <v>71</v>
      </c>
      <c r="B31" t="s">
        <v>72</v>
      </c>
      <c r="C31" t="s">
        <v>54</v>
      </c>
      <c r="D31">
        <v>0.85848579541462089</v>
      </c>
      <c r="E31">
        <v>0</v>
      </c>
      <c r="F31">
        <v>8</v>
      </c>
      <c r="G31">
        <v>0</v>
      </c>
      <c r="H31">
        <v>57.435897435897431</v>
      </c>
      <c r="I31">
        <v>76.410256410256409</v>
      </c>
      <c r="J31">
        <v>58.974358974358978</v>
      </c>
      <c r="K31">
        <v>66.666666666666657</v>
      </c>
      <c r="L31">
        <f t="shared" si="0"/>
        <v>66.000000000000014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Donggyu Kim</cp:lastModifiedBy>
  <dcterms:created xsi:type="dcterms:W3CDTF">2025-12-11T06:53:32Z</dcterms:created>
  <dcterms:modified xsi:type="dcterms:W3CDTF">2025-12-15T07:17:09Z</dcterms:modified>
</cp:coreProperties>
</file>